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Workspace\eggAPP\hardware\eggubator\Project Outputs for eggubator\BOM\"/>
    </mc:Choice>
  </mc:AlternateContent>
  <xr:revisionPtr revIDLastSave="0" documentId="13_ncr:1_{A2D76863-6099-4DC5-B908-A3EA476A78CC}" xr6:coauthVersionLast="47" xr6:coauthVersionMax="47" xr10:uidLastSave="{00000000-0000-0000-0000-000000000000}"/>
  <bookViews>
    <workbookView xWindow="-108" yWindow="-108" windowWidth="23256" windowHeight="12456" xr2:uid="{F89E0A9D-A388-4030-948F-F4B02853452D}"/>
  </bookViews>
  <sheets>
    <sheet name="Copy of Bill of Materials-eggub" sheetId="1" r:id="rId1"/>
  </sheets>
  <definedNames>
    <definedName name="_xlnm.Print_Titles" localSheetId="0">'Copy of Bill of Materials-eggub'!$1:$1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I7" i="1"/>
  <c r="A7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prabhagaran sundaralingam</author>
  </authors>
  <commentList>
    <comment ref="H34" authorId="0" shapeId="0" xr:uid="{3CF4E1B2-FE4C-431C-B3ED-444565B51264}">
      <text>
        <r>
          <rPr>
            <b/>
            <sz val="9"/>
            <color indexed="81"/>
            <rFont val="Tahoma"/>
            <charset val="1"/>
          </rPr>
          <t>prabhagaran sundaralingam:</t>
        </r>
        <r>
          <rPr>
            <sz val="9"/>
            <color indexed="81"/>
            <rFont val="Tahoma"/>
            <charset val="1"/>
          </rPr>
          <t xml:space="preserve">
Total component quantity across all line items</t>
        </r>
      </text>
    </comment>
  </commentList>
</comments>
</file>

<file path=xl/sharedStrings.xml><?xml version="1.0" encoding="utf-8"?>
<sst xmlns="http://schemas.openxmlformats.org/spreadsheetml/2006/main" count="123" uniqueCount="114">
  <si>
    <t>Description</t>
  </si>
  <si>
    <t>Designator</t>
  </si>
  <si>
    <t>Footprint</t>
  </si>
  <si>
    <t>Capacitor Polarised</t>
  </si>
  <si>
    <t>C1, C2</t>
  </si>
  <si>
    <t>CAPAE830X1050N</t>
  </si>
  <si>
    <t>865060453007</t>
  </si>
  <si>
    <t>16V 22uF X5R ±20% 0805 Multilayer Ceramic Capacitors MLCC - SMD/SMT ROHS</t>
  </si>
  <si>
    <t>C3, C4</t>
  </si>
  <si>
    <t>C0805</t>
  </si>
  <si>
    <t>CC0805MKX5R7BB226</t>
  </si>
  <si>
    <t>50V 100nF X7R ±10% 0805 Multilayer Ceramic Capacitors MLCC - SMD/SMT ROHS</t>
  </si>
  <si>
    <t>C5, C6, C7</t>
  </si>
  <si>
    <t>C0805C104K5RACTU</t>
  </si>
  <si>
    <t>Diode</t>
  </si>
  <si>
    <t>D1, D2, D3, D4, D6, D7</t>
  </si>
  <si>
    <t>SODFL3718X140N</t>
  </si>
  <si>
    <t>1N4007FLTR</t>
  </si>
  <si>
    <t>Schottky Diode</t>
  </si>
  <si>
    <t>D5</t>
  </si>
  <si>
    <t>DIOM5026X262N</t>
  </si>
  <si>
    <t>SS54</t>
  </si>
  <si>
    <t>Integrated Circuit</t>
  </si>
  <si>
    <t>IC1</t>
  </si>
  <si>
    <t>ESP32WROOM32EN4</t>
  </si>
  <si>
    <t>ESP32-WROOM-32E-N4</t>
  </si>
  <si>
    <t>IC2</t>
  </si>
  <si>
    <t>LM2596SXADJ</t>
  </si>
  <si>
    <t>LM2596S-ADJ_NOPB</t>
  </si>
  <si>
    <t>IC3</t>
  </si>
  <si>
    <t>SOT230P700X180-4N</t>
  </si>
  <si>
    <t>LM1117IMPX3.3_NOPB</t>
  </si>
  <si>
    <t>Connector</t>
  </si>
  <si>
    <t>J1, J2, J3, J4, J6, J7, J9, J10</t>
  </si>
  <si>
    <t>J5</t>
  </si>
  <si>
    <t>282837-2</t>
  </si>
  <si>
    <t>J8</t>
  </si>
  <si>
    <t>282837-5</t>
  </si>
  <si>
    <t>Relay or Contactor</t>
  </si>
  <si>
    <t>K1, K2, K3, K4, K5, K6</t>
  </si>
  <si>
    <t>AWHSH112D00G</t>
  </si>
  <si>
    <t>Inductor</t>
  </si>
  <si>
    <t>L1</t>
  </si>
  <si>
    <t>CDRH104RNP331NC</t>
  </si>
  <si>
    <t>CDRH104RNP-331NC</t>
  </si>
  <si>
    <t>Single Color LED, Red, Water Clear, 1.3mm</t>
  </si>
  <si>
    <t>LED1, LED2, LED3, LED4, LED5, LED6</t>
  </si>
  <si>
    <t>XZMDK54W4</t>
  </si>
  <si>
    <t>XZMDK54W-4</t>
  </si>
  <si>
    <t>Header, 19-Pin</t>
  </si>
  <si>
    <t>P1, P2</t>
  </si>
  <si>
    <t>HDR1X19</t>
  </si>
  <si>
    <t>Header 19</t>
  </si>
  <si>
    <t>Header, 10-Pin</t>
  </si>
  <si>
    <t>P3</t>
  </si>
  <si>
    <t>HDR1X10</t>
  </si>
  <si>
    <t>Header 10</t>
  </si>
  <si>
    <t>Header, 5-Pin</t>
  </si>
  <si>
    <t>P4, P7</t>
  </si>
  <si>
    <t>HDR1X5</t>
  </si>
  <si>
    <t>Header 5</t>
  </si>
  <si>
    <t>Header, 7-Pin</t>
  </si>
  <si>
    <t>P5</t>
  </si>
  <si>
    <t>HDR1X7</t>
  </si>
  <si>
    <t>Header 7</t>
  </si>
  <si>
    <t>Header, 4-Pin</t>
  </si>
  <si>
    <t>P6</t>
  </si>
  <si>
    <t>HDR1X4</t>
  </si>
  <si>
    <t>Header 4</t>
  </si>
  <si>
    <t>Header, 6-Pin</t>
  </si>
  <si>
    <t>P8</t>
  </si>
  <si>
    <t>HDR1X6</t>
  </si>
  <si>
    <t>Header 6</t>
  </si>
  <si>
    <t>Phototransistor</t>
  </si>
  <si>
    <t>Q1, Q2, Q5, Q6, Q9, Q10</t>
  </si>
  <si>
    <t>APC817C1SL</t>
  </si>
  <si>
    <t>APC-817C1-SL</t>
  </si>
  <si>
    <t>Transistor BJT NPN</t>
  </si>
  <si>
    <t>Q3, Q4, Q7, Q8, Q11, Q12, Q13, Q14</t>
  </si>
  <si>
    <t>SOT95P240X115-3N</t>
  </si>
  <si>
    <t>MMBT2222A-G</t>
  </si>
  <si>
    <t>125mW Thin Film Resistor ±50ppm/℃ ±1% 680Ω 0805 Chip Resistor - Surface Mount ROHS</t>
  </si>
  <si>
    <t>R1, R2, R5, R6, R9, R10</t>
  </si>
  <si>
    <t>RES 0805_2012 RF</t>
  </si>
  <si>
    <t>RT0805FRE07680RL</t>
  </si>
  <si>
    <t>Resistor</t>
  </si>
  <si>
    <t>R3, R4, R7, R8, R11, R12</t>
  </si>
  <si>
    <t>RESC2012X60N</t>
  </si>
  <si>
    <t>AT0805DRD071KL</t>
  </si>
  <si>
    <t>Res Thick Film 0805 4.7K Ohm 1% 0.125W(1/8W) ±100ppm/C Sulfur Resistant Pad SMD Automotive T/R</t>
  </si>
  <si>
    <t>R13</t>
  </si>
  <si>
    <t>AF0805FR-074K7L</t>
  </si>
  <si>
    <t>Res General Purpose Thick Film 0805 10k Ohm 1% 1/8W ±100ppm/°C Ceramic Paper T/R</t>
  </si>
  <si>
    <t>R14, R15, R16</t>
  </si>
  <si>
    <t>RC0805FR-0710KL</t>
  </si>
  <si>
    <t>Switch</t>
  </si>
  <si>
    <t>S1, S2</t>
  </si>
  <si>
    <t>TL1105AF160Q</t>
  </si>
  <si>
    <t>BILL OF MATERIALS</t>
  </si>
  <si>
    <t>Project Name:</t>
  </si>
  <si>
    <t>Eggubator</t>
  </si>
  <si>
    <t>Revision:</t>
  </si>
  <si>
    <t>Prepared By:</t>
  </si>
  <si>
    <t>Date:</t>
  </si>
  <si>
    <t>Document No.:</t>
  </si>
  <si>
    <t>Currency:</t>
  </si>
  <si>
    <t>INR</t>
  </si>
  <si>
    <t>Item #</t>
  </si>
  <si>
    <t>LibRef / MPN</t>
  </si>
  <si>
    <t>Manufacturer</t>
  </si>
  <si>
    <t>Qty</t>
  </si>
  <si>
    <t>Unit Cost</t>
  </si>
  <si>
    <t>Extended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</si>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</sst>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&quot;₹&quot;#,##0.00;\(&quot;₹&quot;#,##0.00\);\-"/>
    <numFmt numFmtId="166" formatCode="#,##0;\(#,##0\);\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Border="1"/>
    <xf numFmtId="165" fontId="0" fillId="0" borderId="5" xfId="0" applyNumberFormat="1" applyBorder="1"/>
    <xf numFmtId="165" fontId="0" fillId="0" borderId="6" xfId="0" applyNumberFormat="1" applyBorder="1"/>
    <xf numFmtId="0" fontId="0" fillId="4" borderId="7" xfId="0" applyFill="1" applyBorder="1"/>
    <xf numFmtId="0" fontId="0" fillId="4" borderId="8" xfId="0" applyFill="1" applyBorder="1"/>
    <xf numFmtId="166" fontId="1" fillId="4" borderId="8" xfId="0" applyNumberFormat="1" applyFont="1" applyFill="1" applyBorder="1" applyAlignment="1">
      <alignment horizontal="center"/>
    </xf>
    <xf numFmtId="165" fontId="1" fillId="4" borderId="8" xfId="0" applyNumberFormat="1" applyFont="1" applyFill="1" applyBorder="1" applyAlignment="1">
      <alignment horizontal="center"/>
    </xf>
    <xf numFmtId="165" fontId="1" fillId="4" borderId="9" xfId="0" applyNumberFormat="1" applyFont="1" applyFill="1" applyBorder="1"/>
    <xf numFmtId="0" fontId="0" fillId="5" borderId="5" xfId="0" applyFill="1" applyBorder="1" applyAlignment="1">
      <alignment wrapText="1"/>
    </xf>
    <xf numFmtId="0" fontId="0" fillId="5" borderId="5" xfId="0" applyFill="1" applyBorder="1"/>
    <xf numFmtId="165" fontId="0" fillId="5" borderId="5" xfId="0" applyNumberFormat="1" applyFill="1" applyBorder="1"/>
    <xf numFmtId="165" fontId="0" fillId="5" borderId="6" xfId="0" applyNumberFormat="1" applyFill="1" applyBorder="1"/>
    <xf numFmtId="1" fontId="0" fillId="0" borderId="4" xfId="0" applyNumberFormat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1" fontId="0" fillId="6" borderId="4" xfId="0" applyNumberFormat="1" applyFill="1" applyBorder="1" applyAlignment="1">
      <alignment horizontal="center"/>
    </xf>
    <xf numFmtId="0" fontId="0" fillId="6" borderId="5" xfId="0" applyFill="1" applyBorder="1" applyAlignment="1">
      <alignment wrapText="1"/>
    </xf>
    <xf numFmtId="0" fontId="1" fillId="6" borderId="5" xfId="0" applyFont="1" applyFill="1" applyBorder="1" applyAlignment="1">
      <alignment horizontal="right"/>
    </xf>
    <xf numFmtId="0" fontId="0" fillId="6" borderId="5" xfId="0" applyFill="1" applyBorder="1"/>
    <xf numFmtId="166" fontId="0" fillId="6" borderId="5" xfId="0" applyNumberFormat="1" applyFill="1" applyBorder="1" applyAlignment="1">
      <alignment horizontal="center"/>
    </xf>
    <xf numFmtId="165" fontId="0" fillId="6" borderId="5" xfId="0" applyNumberFormat="1" applyFill="1" applyBorder="1"/>
    <xf numFmtId="165" fontId="0" fillId="6" borderId="6" xfId="0" applyNumberFormat="1" applyFill="1" applyBorder="1"/>
    <xf numFmtId="0" fontId="0" fillId="6" borderId="0" xfId="0" applyFill="1"/>
    <xf numFmtId="49" fontId="0" fillId="6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0A8E24-154A-4997-992F-0DED83AD8C4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e507eb8-1f07-4f24-95a4-cd656ccfc5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89DC-4172-4A5A-8B3F-2052EE4D81FD}">
  <dimension ref="A1:I37"/>
  <sheetViews>
    <sheetView tabSelected="1" workbookViewId="0">
      <pane ySplit="6" topLeftCell="A11" activePane="bottomLeft" state="frozen"/>
      <selection pane="bottomLeft" activeCell="E12" sqref="E12"/>
    </sheetView>
  </sheetViews>
  <sheetFormatPr defaultRowHeight="14.4" x14ac:dyDescent="0.3"/>
  <cols>
    <col min="1" max="1" width="8.33203125" customWidth="1"/>
    <col min="2" max="2" width="48.109375" customWidth="1"/>
    <col min="3" max="3" width="27.77734375" customWidth="1"/>
    <col min="4" max="4" width="22.21875" customWidth="1"/>
    <col min="5" max="5" width="24.109375" customWidth="1"/>
    <col min="6" max="6" width="18.5546875" customWidth="1"/>
    <col min="7" max="7" width="8.33203125" customWidth="1"/>
    <col min="8" max="8" width="14.77734375" customWidth="1"/>
    <col min="9" max="9" width="16.6640625" customWidth="1"/>
  </cols>
  <sheetData>
    <row r="1" spans="1:9" s="1" customFormat="1" ht="30" customHeight="1" x14ac:dyDescent="0.45">
      <c r="A1" s="26" t="s">
        <v>98</v>
      </c>
      <c r="B1" s="26"/>
      <c r="C1" s="26"/>
      <c r="D1" s="26"/>
      <c r="E1" s="26"/>
      <c r="F1" s="26"/>
      <c r="G1" s="26"/>
      <c r="H1" s="26"/>
    </row>
    <row r="2" spans="1:9" x14ac:dyDescent="0.3">
      <c r="A2" s="2" t="s">
        <v>99</v>
      </c>
      <c r="B2" t="s">
        <v>100</v>
      </c>
      <c r="D2" s="3" t="s">
        <v>101</v>
      </c>
      <c r="E2">
        <v>1</v>
      </c>
    </row>
    <row r="3" spans="1:9" x14ac:dyDescent="0.3">
      <c r="A3" s="2" t="s">
        <v>102</v>
      </c>
      <c r="D3" s="3" t="s">
        <v>103</v>
      </c>
      <c r="E3" s="4">
        <f ca="1">TODAY()</f>
        <v>46258</v>
      </c>
    </row>
    <row r="4" spans="1:9" x14ac:dyDescent="0.3">
      <c r="A4" s="2" t="s">
        <v>104</v>
      </c>
      <c r="D4" s="3" t="s">
        <v>105</v>
      </c>
      <c r="E4" t="s">
        <v>106</v>
      </c>
    </row>
    <row r="6" spans="1:9" ht="22.05" customHeight="1" x14ac:dyDescent="0.3">
      <c r="A6" s="5" t="s">
        <v>107</v>
      </c>
      <c r="B6" s="6" t="s">
        <v>0</v>
      </c>
      <c r="C6" s="6" t="s">
        <v>1</v>
      </c>
      <c r="D6" s="6" t="s">
        <v>2</v>
      </c>
      <c r="E6" s="6" t="s">
        <v>108</v>
      </c>
      <c r="F6" s="6" t="s">
        <v>109</v>
      </c>
      <c r="G6" s="7" t="s">
        <v>110</v>
      </c>
      <c r="H6" s="7" t="s">
        <v>111</v>
      </c>
      <c r="I6" s="8" t="s">
        <v>112</v>
      </c>
    </row>
    <row r="7" spans="1:9" s="34" customFormat="1" ht="30" customHeight="1" x14ac:dyDescent="0.3">
      <c r="A7" s="27">
        <f>ROW()-6</f>
        <v>1</v>
      </c>
      <c r="B7" s="28" t="s">
        <v>3</v>
      </c>
      <c r="C7" s="28" t="s">
        <v>4</v>
      </c>
      <c r="D7" s="29" t="s">
        <v>5</v>
      </c>
      <c r="E7" s="35" t="s">
        <v>6</v>
      </c>
      <c r="F7" s="30"/>
      <c r="G7" s="31">
        <v>2</v>
      </c>
      <c r="H7" s="32">
        <v>0</v>
      </c>
      <c r="I7" s="33">
        <f>G7*H7</f>
        <v>0</v>
      </c>
    </row>
    <row r="8" spans="1:9" s="34" customFormat="1" ht="30" customHeight="1" x14ac:dyDescent="0.3">
      <c r="A8" s="27">
        <f t="shared" ref="A8:A33" si="0">ROW()-6</f>
        <v>2</v>
      </c>
      <c r="B8" s="28" t="s">
        <v>7</v>
      </c>
      <c r="C8" s="28" t="s">
        <v>8</v>
      </c>
      <c r="D8" s="29" t="s">
        <v>9</v>
      </c>
      <c r="E8" s="30" t="s">
        <v>10</v>
      </c>
      <c r="F8" s="30"/>
      <c r="G8" s="31">
        <v>2</v>
      </c>
      <c r="H8" s="32">
        <v>0</v>
      </c>
      <c r="I8" s="33">
        <f t="shared" ref="I8:I33" si="1">G8*H8</f>
        <v>0</v>
      </c>
    </row>
    <row r="9" spans="1:9" s="34" customFormat="1" ht="30" customHeight="1" x14ac:dyDescent="0.3">
      <c r="A9" s="27">
        <f t="shared" si="0"/>
        <v>3</v>
      </c>
      <c r="B9" s="28" t="s">
        <v>11</v>
      </c>
      <c r="C9" s="28" t="s">
        <v>12</v>
      </c>
      <c r="D9" s="29" t="s">
        <v>9</v>
      </c>
      <c r="E9" s="30" t="s">
        <v>13</v>
      </c>
      <c r="F9" s="30"/>
      <c r="G9" s="31">
        <v>3</v>
      </c>
      <c r="H9" s="32">
        <v>0</v>
      </c>
      <c r="I9" s="33">
        <f t="shared" si="1"/>
        <v>0</v>
      </c>
    </row>
    <row r="10" spans="1:9" s="34" customFormat="1" ht="30" customHeight="1" x14ac:dyDescent="0.3">
      <c r="A10" s="27">
        <f t="shared" si="0"/>
        <v>4</v>
      </c>
      <c r="B10" s="28" t="s">
        <v>14</v>
      </c>
      <c r="C10" s="28" t="s">
        <v>15</v>
      </c>
      <c r="D10" s="29" t="s">
        <v>16</v>
      </c>
      <c r="E10" s="30" t="s">
        <v>17</v>
      </c>
      <c r="F10" s="30"/>
      <c r="G10" s="31">
        <v>6</v>
      </c>
      <c r="H10" s="32">
        <v>0</v>
      </c>
      <c r="I10" s="33">
        <f t="shared" si="1"/>
        <v>0</v>
      </c>
    </row>
    <row r="11" spans="1:9" s="34" customFormat="1" ht="30" customHeight="1" x14ac:dyDescent="0.3">
      <c r="A11" s="27">
        <f t="shared" si="0"/>
        <v>5</v>
      </c>
      <c r="B11" s="28" t="s">
        <v>18</v>
      </c>
      <c r="C11" s="28" t="s">
        <v>19</v>
      </c>
      <c r="D11" s="29" t="s">
        <v>20</v>
      </c>
      <c r="E11" s="30" t="s">
        <v>21</v>
      </c>
      <c r="F11" s="30"/>
      <c r="G11" s="31">
        <v>1</v>
      </c>
      <c r="H11" s="32">
        <v>0</v>
      </c>
      <c r="I11" s="33">
        <f t="shared" si="1"/>
        <v>0</v>
      </c>
    </row>
    <row r="12" spans="1:9" s="34" customFormat="1" ht="30" customHeight="1" x14ac:dyDescent="0.3">
      <c r="A12" s="27">
        <f t="shared" si="0"/>
        <v>6</v>
      </c>
      <c r="B12" s="28" t="s">
        <v>22</v>
      </c>
      <c r="C12" s="28" t="s">
        <v>23</v>
      </c>
      <c r="D12" s="29" t="s">
        <v>24</v>
      </c>
      <c r="E12" s="30" t="s">
        <v>25</v>
      </c>
      <c r="F12" s="30"/>
      <c r="G12" s="31">
        <v>1</v>
      </c>
      <c r="H12" s="32">
        <v>0</v>
      </c>
      <c r="I12" s="33">
        <f t="shared" si="1"/>
        <v>0</v>
      </c>
    </row>
    <row r="13" spans="1:9" s="34" customFormat="1" ht="30" customHeight="1" x14ac:dyDescent="0.3">
      <c r="A13" s="27">
        <f t="shared" si="0"/>
        <v>7</v>
      </c>
      <c r="B13" s="28" t="s">
        <v>22</v>
      </c>
      <c r="C13" s="28" t="s">
        <v>26</v>
      </c>
      <c r="D13" s="29" t="s">
        <v>27</v>
      </c>
      <c r="E13" s="30" t="s">
        <v>28</v>
      </c>
      <c r="F13" s="30"/>
      <c r="G13" s="31">
        <v>1</v>
      </c>
      <c r="H13" s="32">
        <v>0</v>
      </c>
      <c r="I13" s="33">
        <f t="shared" si="1"/>
        <v>0</v>
      </c>
    </row>
    <row r="14" spans="1:9" s="34" customFormat="1" ht="30" customHeight="1" x14ac:dyDescent="0.3">
      <c r="A14" s="27">
        <f t="shared" si="0"/>
        <v>8</v>
      </c>
      <c r="B14" s="28" t="s">
        <v>22</v>
      </c>
      <c r="C14" s="28" t="s">
        <v>29</v>
      </c>
      <c r="D14" s="29" t="s">
        <v>30</v>
      </c>
      <c r="E14" s="30" t="s">
        <v>31</v>
      </c>
      <c r="F14" s="30"/>
      <c r="G14" s="31">
        <v>1</v>
      </c>
      <c r="H14" s="32">
        <v>0</v>
      </c>
      <c r="I14" s="33">
        <f t="shared" si="1"/>
        <v>0</v>
      </c>
    </row>
    <row r="15" spans="1:9" ht="30" customHeight="1" x14ac:dyDescent="0.3">
      <c r="A15" s="22">
        <f t="shared" si="0"/>
        <v>9</v>
      </c>
      <c r="B15" s="9" t="s">
        <v>32</v>
      </c>
      <c r="C15" s="9" t="s">
        <v>33</v>
      </c>
      <c r="D15" s="10">
        <v>691137710003</v>
      </c>
      <c r="E15" s="10">
        <v>691137710003</v>
      </c>
      <c r="F15" s="10"/>
      <c r="G15" s="24">
        <v>8</v>
      </c>
      <c r="H15" s="11">
        <v>0</v>
      </c>
      <c r="I15" s="12">
        <f t="shared" si="1"/>
        <v>0</v>
      </c>
    </row>
    <row r="16" spans="1:9" ht="30" customHeight="1" x14ac:dyDescent="0.3">
      <c r="A16" s="23">
        <f t="shared" si="0"/>
        <v>10</v>
      </c>
      <c r="B16" s="18" t="s">
        <v>32</v>
      </c>
      <c r="C16" s="18" t="s">
        <v>34</v>
      </c>
      <c r="D16" s="19">
        <v>2828372</v>
      </c>
      <c r="E16" s="19" t="s">
        <v>35</v>
      </c>
      <c r="F16" s="19"/>
      <c r="G16" s="25">
        <v>1</v>
      </c>
      <c r="H16" s="20">
        <v>0</v>
      </c>
      <c r="I16" s="21">
        <f t="shared" si="1"/>
        <v>0</v>
      </c>
    </row>
    <row r="17" spans="1:9" ht="30" customHeight="1" x14ac:dyDescent="0.3">
      <c r="A17" s="22">
        <f t="shared" si="0"/>
        <v>11</v>
      </c>
      <c r="B17" s="9" t="s">
        <v>32</v>
      </c>
      <c r="C17" s="9" t="s">
        <v>36</v>
      </c>
      <c r="D17" s="10">
        <v>2828375</v>
      </c>
      <c r="E17" s="10" t="s">
        <v>37</v>
      </c>
      <c r="F17" s="10"/>
      <c r="G17" s="24">
        <v>1</v>
      </c>
      <c r="H17" s="11">
        <v>0</v>
      </c>
      <c r="I17" s="12">
        <f t="shared" si="1"/>
        <v>0</v>
      </c>
    </row>
    <row r="18" spans="1:9" s="34" customFormat="1" ht="30" customHeight="1" x14ac:dyDescent="0.3">
      <c r="A18" s="27">
        <f t="shared" si="0"/>
        <v>12</v>
      </c>
      <c r="B18" s="28" t="s">
        <v>38</v>
      </c>
      <c r="C18" s="28" t="s">
        <v>39</v>
      </c>
      <c r="D18" s="30" t="s">
        <v>40</v>
      </c>
      <c r="E18" s="30" t="s">
        <v>40</v>
      </c>
      <c r="F18" s="30"/>
      <c r="G18" s="31">
        <v>6</v>
      </c>
      <c r="H18" s="32">
        <v>0</v>
      </c>
      <c r="I18" s="33">
        <f t="shared" si="1"/>
        <v>0</v>
      </c>
    </row>
    <row r="19" spans="1:9" s="34" customFormat="1" ht="30" customHeight="1" x14ac:dyDescent="0.3">
      <c r="A19" s="27">
        <f t="shared" si="0"/>
        <v>13</v>
      </c>
      <c r="B19" s="28" t="s">
        <v>41</v>
      </c>
      <c r="C19" s="28" t="s">
        <v>42</v>
      </c>
      <c r="D19" s="30" t="s">
        <v>43</v>
      </c>
      <c r="E19" s="30" t="s">
        <v>44</v>
      </c>
      <c r="F19" s="30"/>
      <c r="G19" s="31">
        <v>1</v>
      </c>
      <c r="H19" s="32">
        <v>0</v>
      </c>
      <c r="I19" s="33">
        <f t="shared" si="1"/>
        <v>0</v>
      </c>
    </row>
    <row r="20" spans="1:9" s="34" customFormat="1" ht="30" customHeight="1" x14ac:dyDescent="0.3">
      <c r="A20" s="27">
        <f t="shared" si="0"/>
        <v>14</v>
      </c>
      <c r="B20" s="28" t="s">
        <v>45</v>
      </c>
      <c r="C20" s="28" t="s">
        <v>46</v>
      </c>
      <c r="D20" s="30" t="s">
        <v>47</v>
      </c>
      <c r="E20" s="30" t="s">
        <v>48</v>
      </c>
      <c r="F20" s="30"/>
      <c r="G20" s="31">
        <v>6</v>
      </c>
      <c r="H20" s="32">
        <v>0</v>
      </c>
      <c r="I20" s="33">
        <f t="shared" si="1"/>
        <v>0</v>
      </c>
    </row>
    <row r="21" spans="1:9" s="34" customFormat="1" ht="30" customHeight="1" x14ac:dyDescent="0.3">
      <c r="A21" s="27">
        <f t="shared" si="0"/>
        <v>15</v>
      </c>
      <c r="B21" s="28" t="s">
        <v>49</v>
      </c>
      <c r="C21" s="28" t="s">
        <v>50</v>
      </c>
      <c r="D21" s="30" t="s">
        <v>51</v>
      </c>
      <c r="E21" s="30" t="s">
        <v>52</v>
      </c>
      <c r="F21" s="30"/>
      <c r="G21" s="31">
        <v>2</v>
      </c>
      <c r="H21" s="32">
        <v>0</v>
      </c>
      <c r="I21" s="33">
        <f t="shared" si="1"/>
        <v>0</v>
      </c>
    </row>
    <row r="22" spans="1:9" s="34" customFormat="1" ht="30" customHeight="1" x14ac:dyDescent="0.3">
      <c r="A22" s="27">
        <f t="shared" si="0"/>
        <v>16</v>
      </c>
      <c r="B22" s="28" t="s">
        <v>53</v>
      </c>
      <c r="C22" s="28" t="s">
        <v>54</v>
      </c>
      <c r="D22" s="30" t="s">
        <v>55</v>
      </c>
      <c r="E22" s="30" t="s">
        <v>56</v>
      </c>
      <c r="F22" s="30"/>
      <c r="G22" s="31">
        <v>1</v>
      </c>
      <c r="H22" s="32">
        <v>0</v>
      </c>
      <c r="I22" s="33">
        <f t="shared" si="1"/>
        <v>0</v>
      </c>
    </row>
    <row r="23" spans="1:9" s="34" customFormat="1" ht="30" customHeight="1" x14ac:dyDescent="0.3">
      <c r="A23" s="27">
        <f t="shared" si="0"/>
        <v>17</v>
      </c>
      <c r="B23" s="28" t="s">
        <v>57</v>
      </c>
      <c r="C23" s="28" t="s">
        <v>58</v>
      </c>
      <c r="D23" s="30" t="s">
        <v>59</v>
      </c>
      <c r="E23" s="30" t="s">
        <v>60</v>
      </c>
      <c r="F23" s="30"/>
      <c r="G23" s="31">
        <v>2</v>
      </c>
      <c r="H23" s="32">
        <v>0</v>
      </c>
      <c r="I23" s="33">
        <f t="shared" si="1"/>
        <v>0</v>
      </c>
    </row>
    <row r="24" spans="1:9" s="34" customFormat="1" ht="30" customHeight="1" x14ac:dyDescent="0.3">
      <c r="A24" s="27">
        <f t="shared" si="0"/>
        <v>18</v>
      </c>
      <c r="B24" s="28" t="s">
        <v>61</v>
      </c>
      <c r="C24" s="28" t="s">
        <v>62</v>
      </c>
      <c r="D24" s="30" t="s">
        <v>63</v>
      </c>
      <c r="E24" s="30" t="s">
        <v>64</v>
      </c>
      <c r="F24" s="30"/>
      <c r="G24" s="31">
        <v>1</v>
      </c>
      <c r="H24" s="32">
        <v>0</v>
      </c>
      <c r="I24" s="33">
        <f t="shared" si="1"/>
        <v>0</v>
      </c>
    </row>
    <row r="25" spans="1:9" s="34" customFormat="1" ht="30" customHeight="1" x14ac:dyDescent="0.3">
      <c r="A25" s="27">
        <f t="shared" si="0"/>
        <v>19</v>
      </c>
      <c r="B25" s="28" t="s">
        <v>65</v>
      </c>
      <c r="C25" s="28" t="s">
        <v>66</v>
      </c>
      <c r="D25" s="30" t="s">
        <v>67</v>
      </c>
      <c r="E25" s="30" t="s">
        <v>68</v>
      </c>
      <c r="F25" s="30"/>
      <c r="G25" s="31">
        <v>1</v>
      </c>
      <c r="H25" s="32">
        <v>0</v>
      </c>
      <c r="I25" s="33">
        <f t="shared" si="1"/>
        <v>0</v>
      </c>
    </row>
    <row r="26" spans="1:9" s="34" customFormat="1" ht="30" customHeight="1" x14ac:dyDescent="0.3">
      <c r="A26" s="27">
        <f t="shared" si="0"/>
        <v>20</v>
      </c>
      <c r="B26" s="28" t="s">
        <v>69</v>
      </c>
      <c r="C26" s="28" t="s">
        <v>70</v>
      </c>
      <c r="D26" s="30" t="s">
        <v>71</v>
      </c>
      <c r="E26" s="30" t="s">
        <v>72</v>
      </c>
      <c r="F26" s="30"/>
      <c r="G26" s="31">
        <v>1</v>
      </c>
      <c r="H26" s="32">
        <v>0</v>
      </c>
      <c r="I26" s="33">
        <f t="shared" si="1"/>
        <v>0</v>
      </c>
    </row>
    <row r="27" spans="1:9" ht="30" customHeight="1" x14ac:dyDescent="0.3">
      <c r="A27" s="22">
        <f t="shared" si="0"/>
        <v>21</v>
      </c>
      <c r="B27" s="9" t="s">
        <v>73</v>
      </c>
      <c r="C27" s="9" t="s">
        <v>74</v>
      </c>
      <c r="D27" s="10" t="s">
        <v>75</v>
      </c>
      <c r="E27" s="10" t="s">
        <v>76</v>
      </c>
      <c r="F27" s="10"/>
      <c r="G27" s="24">
        <v>6</v>
      </c>
      <c r="H27" s="11">
        <v>0</v>
      </c>
      <c r="I27" s="12">
        <f t="shared" si="1"/>
        <v>0</v>
      </c>
    </row>
    <row r="28" spans="1:9" s="34" customFormat="1" ht="30" customHeight="1" x14ac:dyDescent="0.3">
      <c r="A28" s="27">
        <f t="shared" si="0"/>
        <v>22</v>
      </c>
      <c r="B28" s="28" t="s">
        <v>77</v>
      </c>
      <c r="C28" s="28" t="s">
        <v>78</v>
      </c>
      <c r="D28" s="30" t="s">
        <v>79</v>
      </c>
      <c r="E28" s="30" t="s">
        <v>80</v>
      </c>
      <c r="F28" s="30"/>
      <c r="G28" s="31">
        <v>8</v>
      </c>
      <c r="H28" s="32">
        <v>0</v>
      </c>
      <c r="I28" s="33">
        <f t="shared" si="1"/>
        <v>0</v>
      </c>
    </row>
    <row r="29" spans="1:9" s="34" customFormat="1" ht="30" customHeight="1" x14ac:dyDescent="0.3">
      <c r="A29" s="27">
        <f t="shared" si="0"/>
        <v>23</v>
      </c>
      <c r="B29" s="28" t="s">
        <v>81</v>
      </c>
      <c r="C29" s="28" t="s">
        <v>82</v>
      </c>
      <c r="D29" s="30" t="s">
        <v>83</v>
      </c>
      <c r="E29" s="30" t="s">
        <v>84</v>
      </c>
      <c r="F29" s="30"/>
      <c r="G29" s="31">
        <v>6</v>
      </c>
      <c r="H29" s="32">
        <v>0</v>
      </c>
      <c r="I29" s="33">
        <f t="shared" si="1"/>
        <v>0</v>
      </c>
    </row>
    <row r="30" spans="1:9" s="34" customFormat="1" ht="30" customHeight="1" x14ac:dyDescent="0.3">
      <c r="A30" s="27">
        <f t="shared" si="0"/>
        <v>24</v>
      </c>
      <c r="B30" s="28" t="s">
        <v>85</v>
      </c>
      <c r="C30" s="28" t="s">
        <v>86</v>
      </c>
      <c r="D30" s="30" t="s">
        <v>87</v>
      </c>
      <c r="E30" s="30" t="s">
        <v>88</v>
      </c>
      <c r="F30" s="30"/>
      <c r="G30" s="31">
        <v>6</v>
      </c>
      <c r="H30" s="32">
        <v>0</v>
      </c>
      <c r="I30" s="33">
        <f t="shared" si="1"/>
        <v>0</v>
      </c>
    </row>
    <row r="31" spans="1:9" s="34" customFormat="1" ht="30" customHeight="1" x14ac:dyDescent="0.3">
      <c r="A31" s="27">
        <f t="shared" si="0"/>
        <v>25</v>
      </c>
      <c r="B31" s="28" t="s">
        <v>89</v>
      </c>
      <c r="C31" s="28" t="s">
        <v>90</v>
      </c>
      <c r="D31" s="30" t="s">
        <v>83</v>
      </c>
      <c r="E31" s="30" t="s">
        <v>91</v>
      </c>
      <c r="F31" s="30"/>
      <c r="G31" s="31">
        <v>1</v>
      </c>
      <c r="H31" s="32">
        <v>0</v>
      </c>
      <c r="I31" s="33">
        <f t="shared" si="1"/>
        <v>0</v>
      </c>
    </row>
    <row r="32" spans="1:9" s="34" customFormat="1" ht="30" customHeight="1" x14ac:dyDescent="0.3">
      <c r="A32" s="27">
        <f t="shared" si="0"/>
        <v>26</v>
      </c>
      <c r="B32" s="28" t="s">
        <v>92</v>
      </c>
      <c r="C32" s="28" t="s">
        <v>93</v>
      </c>
      <c r="D32" s="30" t="s">
        <v>87</v>
      </c>
      <c r="E32" s="30" t="s">
        <v>94</v>
      </c>
      <c r="F32" s="30"/>
      <c r="G32" s="31">
        <v>3</v>
      </c>
      <c r="H32" s="32">
        <v>0</v>
      </c>
      <c r="I32" s="33">
        <f t="shared" si="1"/>
        <v>0</v>
      </c>
    </row>
    <row r="33" spans="1:9" s="34" customFormat="1" ht="30" customHeight="1" x14ac:dyDescent="0.3">
      <c r="A33" s="27">
        <f t="shared" si="0"/>
        <v>27</v>
      </c>
      <c r="B33" s="28" t="s">
        <v>95</v>
      </c>
      <c r="C33" s="28" t="s">
        <v>96</v>
      </c>
      <c r="D33" s="30" t="s">
        <v>97</v>
      </c>
      <c r="E33" s="30" t="s">
        <v>97</v>
      </c>
      <c r="F33" s="30"/>
      <c r="G33" s="31">
        <v>2</v>
      </c>
      <c r="H33" s="32">
        <v>0</v>
      </c>
      <c r="I33" s="33">
        <f t="shared" si="1"/>
        <v>0</v>
      </c>
    </row>
    <row r="34" spans="1:9" x14ac:dyDescent="0.3">
      <c r="A34" s="13"/>
      <c r="B34" s="14"/>
      <c r="C34" s="14"/>
      <c r="D34" s="14"/>
      <c r="E34" s="14"/>
      <c r="F34" s="14"/>
      <c r="G34" s="15" t="s">
        <v>113</v>
      </c>
      <c r="H34" s="16">
        <f>SUM(G7:G33)</f>
        <v>80</v>
      </c>
      <c r="I34" s="17">
        <f>SUM(I7:I33)</f>
        <v>0</v>
      </c>
    </row>
    <row r="37" spans="1:9" x14ac:dyDescent="0.3">
      <c r="C37" s="34"/>
    </row>
  </sheetData>
  <mergeCells count="1">
    <mergeCell ref="A1:H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Copy of Bill of Materials-eggub</vt:lpstr>
      <vt:lpstr>'Copy of Bill of Materials-eggub'!Print_Titles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Prabhakaran Sundaralingam</dc:creator>
  <cp:lastModifiedBy>Prabhakaran Sundaralingam</cp:lastModifiedBy>
  <dcterms:created xsi:type="dcterms:W3CDTF">2026-08-15T16:00:27Z</dcterms:created>
  <dcterms:modified xsi:type="dcterms:W3CDTF">2026-08-24T16:27:25Z</dcterms:modified>
</cp:coreProperties>
</file>